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<sst xmlns="http://schemas.openxmlformats.org/spreadsheetml/2006/main" count="125" uniqueCount="24">
  <si>
    <t xml:space="preserve">beta*=</t>
  </si>
  <si>
    <t xml:space="preserve">m</t>
  </si>
  <si>
    <t xml:space="preserve">optimal beta*</t>
  </si>
  <si>
    <t xml:space="preserve">1.5 GHz worst</t>
  </si>
  <si>
    <t xml:space="preserve">1.5 GHz avg</t>
  </si>
  <si>
    <t xml:space="preserve">1.75 worst</t>
  </si>
  <si>
    <t xml:space="preserve">1.75 avg</t>
  </si>
  <si>
    <t xml:space="preserve">all worst</t>
  </si>
  <si>
    <t xml:space="preserve">all avg</t>
  </si>
  <si>
    <t xml:space="preserve">Structure</t>
  </si>
  <si>
    <t xml:space="preserve">Position</t>
  </si>
  <si>
    <t xml:space="preserve">beta</t>
  </si>
  <si>
    <t xml:space="preserve"> </t>
  </si>
  <si>
    <t xml:space="preserve">Position 1</t>
  </si>
  <si>
    <t xml:space="preserve">Position 2</t>
  </si>
  <si>
    <t xml:space="preserve">BPM</t>
  </si>
  <si>
    <t xml:space="preserve">mm</t>
  </si>
  <si>
    <t xml:space="preserve">WG</t>
  </si>
  <si>
    <t xml:space="preserve">1. Cell</t>
  </si>
  <si>
    <t xml:space="preserve">Iris 1.5 GHz</t>
  </si>
  <si>
    <t xml:space="preserve">2. Cell</t>
  </si>
  <si>
    <t xml:space="preserve">3. Cell</t>
  </si>
  <si>
    <t xml:space="preserve">4. Cell</t>
  </si>
  <si>
    <t xml:space="preserve">Iris 1.75 GHz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</si>
</sst>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5"/>
  <sheetViews>
    <sheetView windowProtection="false"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27" activeCellId="0" sqref="E27"/>
    </sheetView>
  </sheetViews>
  <sheetFormatPr defaultRowHeight="12.8"/>
  <cols>
    <col collapsed="false" hidden="false" max="1" min="1" style="0" width="11.3418367346939"/>
    <col collapsed="false" hidden="false" max="2" min="2" style="0" width="13.6173469387755"/>
    <col collapsed="false" hidden="false" max="1025" min="3" style="0" width="11.3418367346939"/>
  </cols>
  <sheetData>
    <row r="1" customFormat="false" ht="12.8" hidden="false" customHeight="false" outlineLevel="0" collapsed="false">
      <c r="A1" s="0" t="s">
        <v>0</v>
      </c>
      <c r="B1" s="0" t="n">
        <v>1</v>
      </c>
      <c r="C1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n">
        <v>1.5</v>
      </c>
      <c r="D3" s="0" t="s">
        <v>1</v>
      </c>
    </row>
    <row r="4" customFormat="false" ht="12.8" hidden="false" customHeight="false" outlineLevel="0" collapsed="false">
      <c r="B4" s="0" t="s">
        <v>4</v>
      </c>
      <c r="C4" s="0" t="n">
        <v>1.25</v>
      </c>
      <c r="D4" s="0" t="s">
        <v>1</v>
      </c>
    </row>
    <row r="5" customFormat="false" ht="12.8" hidden="false" customHeight="false" outlineLevel="0" collapsed="false">
      <c r="B5" s="0" t="s">
        <v>5</v>
      </c>
      <c r="C5" s="0" t="n">
        <v>0.6</v>
      </c>
      <c r="D5" s="0" t="s">
        <v>1</v>
      </c>
    </row>
    <row r="6" customFormat="false" ht="12.8" hidden="false" customHeight="false" outlineLevel="0" collapsed="false">
      <c r="B6" s="0" t="s">
        <v>6</v>
      </c>
      <c r="C6" s="0" t="n">
        <v>0.4</v>
      </c>
      <c r="D6" s="0" t="s">
        <v>1</v>
      </c>
    </row>
    <row r="7" customFormat="false" ht="12.8" hidden="false" customHeight="false" outlineLevel="0" collapsed="false">
      <c r="B7" s="0" t="s">
        <v>7</v>
      </c>
      <c r="C7" s="0" t="n">
        <v>1.5</v>
      </c>
      <c r="D7" s="0" t="s">
        <v>1</v>
      </c>
    </row>
    <row r="8" customFormat="false" ht="12.8" hidden="false" customHeight="false" outlineLevel="0" collapsed="false">
      <c r="B8" s="0" t="s">
        <v>8</v>
      </c>
      <c r="C8" s="0" t="n">
        <v>0.9</v>
      </c>
      <c r="D8" s="0" t="s">
        <v>1</v>
      </c>
    </row>
    <row r="11" customFormat="false" ht="12.8" hidden="false" customHeight="false" outlineLevel="0" collapsed="false">
      <c r="A11" s="0" t="s">
        <v>9</v>
      </c>
      <c r="B11" s="0" t="s">
        <v>10</v>
      </c>
      <c r="F11" s="0" t="s">
        <v>11</v>
      </c>
      <c r="J11" s="0" t="s">
        <v>8</v>
      </c>
      <c r="K11" s="0" t="n">
        <f aca="false">AVERAGE(H13:H39)</f>
        <v>1.88131606765</v>
      </c>
      <c r="N11" s="0" t="s">
        <v>12</v>
      </c>
      <c r="O11" s="0" t="s">
        <v>13</v>
      </c>
      <c r="P11" s="0" t="s">
        <v>14</v>
      </c>
      <c r="Q11" s="0" t="s">
        <v>11</v>
      </c>
    </row>
    <row r="12" customFormat="false" ht="12.8" hidden="false" customHeight="false" outlineLevel="0" collapsed="false">
      <c r="A12" s="0" t="s">
        <v>15</v>
      </c>
      <c r="B12" s="0" t="n">
        <v>0</v>
      </c>
      <c r="C12" s="0" t="s">
        <v>16</v>
      </c>
      <c r="D12" s="0" t="n">
        <f aca="false">(B12-2291.28)/1000</f>
        <v>-2.29128</v>
      </c>
      <c r="E12" s="0" t="s">
        <v>1</v>
      </c>
      <c r="F12" s="0" t="n">
        <f aca="false">$B$1+D12*D12/$B$1</f>
        <v>6.2499640384</v>
      </c>
      <c r="G12" s="0" t="s">
        <v>1</v>
      </c>
      <c r="N12" s="0" t="s">
        <v>17</v>
      </c>
      <c r="O12" s="1" t="n">
        <v>-0.56721</v>
      </c>
      <c r="P12" s="1" t="n">
        <v>0.22321</v>
      </c>
      <c r="Q12" s="2" t="n">
        <f aca="false">$B$1+O12*O12/$B$1</f>
        <v>1.3217271841</v>
      </c>
    </row>
    <row r="13" customFormat="false" ht="12.8" hidden="false" customHeight="false" outlineLevel="0" collapsed="false">
      <c r="N13" s="0" t="s">
        <v>18</v>
      </c>
      <c r="O13" s="1" t="n">
        <v>-0.48121</v>
      </c>
      <c r="P13" s="1" t="n">
        <v>0.30921</v>
      </c>
      <c r="Q13" s="2" t="n">
        <f aca="false">$B$1+O13*O13/$B$1</f>
        <v>1.2315630641</v>
      </c>
    </row>
    <row r="14" customFormat="false" ht="12.8" hidden="false" customHeight="false" outlineLevel="0" collapsed="false">
      <c r="A14" s="0" t="s">
        <v>19</v>
      </c>
      <c r="H14" s="0" t="n">
        <f aca="false">AVERAGE(F15:F19)</f>
        <v>2.5916491912</v>
      </c>
      <c r="N14" s="0" t="s">
        <v>20</v>
      </c>
      <c r="O14" s="1" t="n">
        <v>-0.39521</v>
      </c>
      <c r="P14" s="1" t="n">
        <v>0.39521</v>
      </c>
      <c r="Q14" s="2" t="n">
        <f aca="false">$B$1+O14*O14/$B$1</f>
        <v>1.1561909441</v>
      </c>
    </row>
    <row r="15" customFormat="false" ht="12.8" hidden="false" customHeight="false" outlineLevel="0" collapsed="false">
      <c r="A15" s="0" t="s">
        <v>17</v>
      </c>
      <c r="B15" s="0" t="n">
        <v>837</v>
      </c>
      <c r="C15" s="0" t="s">
        <v>16</v>
      </c>
      <c r="D15" s="0" t="n">
        <f aca="false">(B15-2291.28)/1000</f>
        <v>-1.45428</v>
      </c>
      <c r="E15" s="0" t="s">
        <v>1</v>
      </c>
      <c r="F15" s="0" t="n">
        <f aca="false">$B$1+D15*D15/$B$1</f>
        <v>3.1149303184</v>
      </c>
      <c r="G15" s="0" t="s">
        <v>1</v>
      </c>
      <c r="N15" s="0" t="s">
        <v>21</v>
      </c>
      <c r="O15" s="1" t="n">
        <v>-0.30921</v>
      </c>
      <c r="P15" s="1" t="n">
        <v>0.48121</v>
      </c>
      <c r="Q15" s="2" t="n">
        <f aca="false">$B$1+O15*O15/$B$1</f>
        <v>1.0956108241</v>
      </c>
    </row>
    <row r="16" customFormat="false" ht="12.8" hidden="false" customHeight="false" outlineLevel="0" collapsed="false">
      <c r="A16" s="0" t="s">
        <v>18</v>
      </c>
      <c r="B16" s="0" t="n">
        <f aca="false">B15+100.34</f>
        <v>937.34</v>
      </c>
      <c r="C16" s="0" t="s">
        <v>16</v>
      </c>
      <c r="D16" s="0" t="n">
        <f aca="false">(B16-2291.28)/1000</f>
        <v>-1.35394</v>
      </c>
      <c r="E16" s="0" t="s">
        <v>1</v>
      </c>
      <c r="F16" s="0" t="n">
        <f aca="false">$B$1+D16*D16/$B$1</f>
        <v>2.8331535236</v>
      </c>
      <c r="G16" s="0" t="s">
        <v>1</v>
      </c>
      <c r="N16" s="0" t="s">
        <v>22</v>
      </c>
      <c r="O16" s="1" t="n">
        <v>-0.22321</v>
      </c>
      <c r="P16" s="1" t="n">
        <v>0.56721</v>
      </c>
      <c r="Q16" s="2" t="n">
        <f aca="false">$B$1+O16*O16/$B$1</f>
        <v>1.0498227041</v>
      </c>
    </row>
    <row r="17" customFormat="false" ht="12.8" hidden="false" customHeight="false" outlineLevel="0" collapsed="false">
      <c r="A17" s="0" t="s">
        <v>20</v>
      </c>
      <c r="B17" s="0" t="n">
        <f aca="false">B16+100.34</f>
        <v>1037.68</v>
      </c>
      <c r="C17" s="0" t="s">
        <v>16</v>
      </c>
      <c r="D17" s="0" t="n">
        <f aca="false">(B17-2291.28)/1000</f>
        <v>-1.2536</v>
      </c>
      <c r="E17" s="0" t="s">
        <v>1</v>
      </c>
      <c r="F17" s="0" t="n">
        <f aca="false">$B$1+D17*D17/$B$1</f>
        <v>2.57151296</v>
      </c>
      <c r="G17" s="0" t="s">
        <v>1</v>
      </c>
      <c r="N17" s="0" t="s">
        <v>17</v>
      </c>
      <c r="O17" s="1" t="n">
        <v>-1.45428</v>
      </c>
      <c r="P17" s="1" t="n">
        <v>1.05292</v>
      </c>
      <c r="Q17" s="2" t="n">
        <f aca="false">$B$1+O17*O17/$B$1</f>
        <v>3.1149303184</v>
      </c>
    </row>
    <row r="18" customFormat="false" ht="12.8" hidden="false" customHeight="false" outlineLevel="0" collapsed="false">
      <c r="A18" s="0" t="s">
        <v>21</v>
      </c>
      <c r="B18" s="0" t="n">
        <f aca="false">B17+100.34</f>
        <v>1138.02</v>
      </c>
      <c r="C18" s="0" t="s">
        <v>16</v>
      </c>
      <c r="D18" s="0" t="n">
        <f aca="false">(B18-2291.28)/1000</f>
        <v>-1.15326</v>
      </c>
      <c r="E18" s="0" t="s">
        <v>1</v>
      </c>
      <c r="F18" s="0" t="n">
        <f aca="false">$B$1+D18*D18/$B$1</f>
        <v>2.3300086276</v>
      </c>
      <c r="G18" s="0" t="s">
        <v>1</v>
      </c>
      <c r="N18" s="0" t="s">
        <v>18</v>
      </c>
      <c r="O18" s="1" t="n">
        <v>-1.35394</v>
      </c>
      <c r="P18" s="1" t="n">
        <v>1.15326</v>
      </c>
      <c r="Q18" s="2" t="n">
        <f aca="false">$B$1+O18*O18/$B$1</f>
        <v>2.8331535236</v>
      </c>
    </row>
    <row r="19" customFormat="false" ht="12.8" hidden="false" customHeight="false" outlineLevel="0" collapsed="false">
      <c r="A19" s="0" t="s">
        <v>22</v>
      </c>
      <c r="B19" s="0" t="n">
        <f aca="false">B18+100.34</f>
        <v>1238.36</v>
      </c>
      <c r="C19" s="0" t="s">
        <v>16</v>
      </c>
      <c r="D19" s="0" t="n">
        <f aca="false">(B19-2291.28)/1000</f>
        <v>-1.05292</v>
      </c>
      <c r="E19" s="0" t="s">
        <v>1</v>
      </c>
      <c r="F19" s="0" t="n">
        <f aca="false">$B$1+D19*D19/$B$1</f>
        <v>2.1086405264</v>
      </c>
      <c r="G19" s="0" t="s">
        <v>1</v>
      </c>
      <c r="N19" s="0" t="s">
        <v>20</v>
      </c>
      <c r="O19" s="1" t="n">
        <v>-1.2536</v>
      </c>
      <c r="P19" s="1" t="n">
        <v>1.2536</v>
      </c>
      <c r="Q19" s="2" t="n">
        <f aca="false">$B$1+O19*O19/$B$1</f>
        <v>2.57151296</v>
      </c>
    </row>
    <row r="20" customFormat="false" ht="12.8" hidden="false" customHeight="false" outlineLevel="0" collapsed="false">
      <c r="N20" s="0" t="s">
        <v>21</v>
      </c>
      <c r="O20" s="1" t="n">
        <v>-1.15326</v>
      </c>
      <c r="P20" s="1" t="n">
        <v>1.35394</v>
      </c>
      <c r="Q20" s="2" t="n">
        <f aca="false">$B$1+O20*O20/$B$1</f>
        <v>2.3300086276</v>
      </c>
    </row>
    <row r="21" customFormat="false" ht="12.8" hidden="false" customHeight="false" outlineLevel="0" collapsed="false">
      <c r="N21" s="0" t="s">
        <v>22</v>
      </c>
      <c r="O21" s="1" t="n">
        <v>-1.05292</v>
      </c>
      <c r="P21" s="1" t="n">
        <v>1.45428</v>
      </c>
      <c r="Q21" s="2" t="n">
        <f aca="false">$B$1+O21*O21/$B$1</f>
        <v>2.1086405264</v>
      </c>
    </row>
    <row r="22" customFormat="false" ht="12.8" hidden="false" customHeight="false" outlineLevel="0" collapsed="false">
      <c r="A22" s="0" t="s">
        <v>23</v>
      </c>
      <c r="H22" s="0" t="n">
        <f aca="false">AVERAGE(F23:F27)</f>
        <v>1.1709829441</v>
      </c>
    </row>
    <row r="23" customFormat="false" ht="12.8" hidden="false" customHeight="false" outlineLevel="0" collapsed="false">
      <c r="A23" s="0" t="s">
        <v>17</v>
      </c>
      <c r="B23" s="0" t="n">
        <v>1724.07</v>
      </c>
      <c r="C23" s="0" t="s">
        <v>16</v>
      </c>
      <c r="D23" s="0" t="n">
        <f aca="false">(B23-2291.28)/1000</f>
        <v>-0.56721</v>
      </c>
      <c r="E23" s="0" t="s">
        <v>1</v>
      </c>
      <c r="F23" s="0" t="n">
        <f aca="false">$B$1+D23*D23/$B$1</f>
        <v>1.3217271841</v>
      </c>
      <c r="G23" s="0" t="s">
        <v>1</v>
      </c>
    </row>
    <row r="24" customFormat="false" ht="12.8" hidden="false" customHeight="false" outlineLevel="0" collapsed="false">
      <c r="A24" s="0" t="s">
        <v>18</v>
      </c>
      <c r="B24" s="0" t="n">
        <f aca="false">B23+86</f>
        <v>1810.07</v>
      </c>
      <c r="C24" s="0" t="s">
        <v>16</v>
      </c>
      <c r="D24" s="0" t="n">
        <f aca="false">(B24-2291.28)/1000</f>
        <v>-0.48121</v>
      </c>
      <c r="E24" s="0" t="s">
        <v>1</v>
      </c>
      <c r="F24" s="0" t="n">
        <f aca="false">$B$1+D24*D24/$B$1</f>
        <v>1.2315630641</v>
      </c>
      <c r="G24" s="0" t="s">
        <v>1</v>
      </c>
    </row>
    <row r="25" customFormat="false" ht="12.8" hidden="false" customHeight="false" outlineLevel="0" collapsed="false">
      <c r="A25" s="0" t="s">
        <v>20</v>
      </c>
      <c r="B25" s="0" t="n">
        <f aca="false">B24+86</f>
        <v>1896.07</v>
      </c>
      <c r="C25" s="0" t="s">
        <v>16</v>
      </c>
      <c r="D25" s="0" t="n">
        <f aca="false">(B25-2291.28)/1000</f>
        <v>-0.39521</v>
      </c>
      <c r="E25" s="0" t="s">
        <v>1</v>
      </c>
      <c r="F25" s="0" t="n">
        <f aca="false">$B$1+D25*D25/$B$1</f>
        <v>1.1561909441</v>
      </c>
      <c r="G25" s="0" t="s">
        <v>1</v>
      </c>
    </row>
    <row r="26" customFormat="false" ht="12.8" hidden="false" customHeight="false" outlineLevel="0" collapsed="false">
      <c r="A26" s="0" t="s">
        <v>21</v>
      </c>
      <c r="B26" s="0" t="n">
        <f aca="false">B25+86</f>
        <v>1982.07</v>
      </c>
      <c r="C26" s="0" t="s">
        <v>16</v>
      </c>
      <c r="D26" s="0" t="n">
        <f aca="false">(B26-2291.28)/1000</f>
        <v>-0.30921</v>
      </c>
      <c r="E26" s="0" t="s">
        <v>1</v>
      </c>
      <c r="F26" s="0" t="n">
        <f aca="false">$B$1+D26*D26/$B$1</f>
        <v>1.0956108241</v>
      </c>
      <c r="G26" s="0" t="s">
        <v>1</v>
      </c>
    </row>
    <row r="27" customFormat="false" ht="12.8" hidden="false" customHeight="false" outlineLevel="0" collapsed="false">
      <c r="A27" s="0" t="s">
        <v>22</v>
      </c>
      <c r="B27" s="0" t="n">
        <f aca="false">B26+86</f>
        <v>2068.07</v>
      </c>
      <c r="C27" s="0" t="s">
        <v>16</v>
      </c>
      <c r="D27" s="0" t="n">
        <f aca="false">(B27-2291.28)/1000</f>
        <v>-0.22321</v>
      </c>
      <c r="E27" s="0" t="s">
        <v>1</v>
      </c>
      <c r="F27" s="0" t="n">
        <f aca="false">$B$1+D27*D27/$B$1</f>
        <v>1.0498227041</v>
      </c>
      <c r="G27" s="0" t="s">
        <v>1</v>
      </c>
    </row>
    <row r="30" customFormat="false" ht="12.8" hidden="false" customHeight="false" outlineLevel="0" collapsed="false">
      <c r="A30" s="0" t="s">
        <v>23</v>
      </c>
      <c r="H30" s="0" t="n">
        <f aca="false">AVERAGE(F31:F35)</f>
        <v>1.1709829441</v>
      </c>
    </row>
    <row r="31" customFormat="false" ht="12.8" hidden="false" customHeight="false" outlineLevel="0" collapsed="false">
      <c r="A31" s="0" t="s">
        <v>17</v>
      </c>
      <c r="B31" s="0" t="n">
        <v>2514.49</v>
      </c>
      <c r="C31" s="0" t="s">
        <v>16</v>
      </c>
      <c r="D31" s="0" t="n">
        <f aca="false">(B31-2291.28)/1000</f>
        <v>0.22321</v>
      </c>
      <c r="E31" s="0" t="s">
        <v>1</v>
      </c>
      <c r="F31" s="0" t="n">
        <f aca="false">$B$1+D31*D31/$B$1</f>
        <v>1.0498227041</v>
      </c>
      <c r="G31" s="0" t="s">
        <v>1</v>
      </c>
    </row>
    <row r="32" customFormat="false" ht="12.8" hidden="false" customHeight="false" outlineLevel="0" collapsed="false">
      <c r="A32" s="0" t="s">
        <v>18</v>
      </c>
      <c r="B32" s="0" t="n">
        <f aca="false">B31+86</f>
        <v>2600.49</v>
      </c>
      <c r="C32" s="0" t="s">
        <v>16</v>
      </c>
      <c r="D32" s="0" t="n">
        <f aca="false">(B32-2291.28)/1000</f>
        <v>0.30921</v>
      </c>
      <c r="E32" s="0" t="s">
        <v>1</v>
      </c>
      <c r="F32" s="0" t="n">
        <f aca="false">$B$1+D32*D32/$B$1</f>
        <v>1.0956108241</v>
      </c>
      <c r="G32" s="0" t="s">
        <v>1</v>
      </c>
    </row>
    <row r="33" customFormat="false" ht="12.8" hidden="false" customHeight="false" outlineLevel="0" collapsed="false">
      <c r="A33" s="0" t="s">
        <v>20</v>
      </c>
      <c r="B33" s="0" t="n">
        <f aca="false">B32+86</f>
        <v>2686.49</v>
      </c>
      <c r="C33" s="0" t="s">
        <v>16</v>
      </c>
      <c r="D33" s="0" t="n">
        <f aca="false">(B33-2291.28)/1000</f>
        <v>0.39521</v>
      </c>
      <c r="E33" s="0" t="s">
        <v>1</v>
      </c>
      <c r="F33" s="0" t="n">
        <f aca="false">$B$1+D33*D33/$B$1</f>
        <v>1.1561909441</v>
      </c>
      <c r="G33" s="0" t="s">
        <v>1</v>
      </c>
    </row>
    <row r="34" customFormat="false" ht="12.8" hidden="false" customHeight="false" outlineLevel="0" collapsed="false">
      <c r="A34" s="0" t="s">
        <v>21</v>
      </c>
      <c r="B34" s="0" t="n">
        <f aca="false">B33+86</f>
        <v>2772.49</v>
      </c>
      <c r="C34" s="0" t="s">
        <v>16</v>
      </c>
      <c r="D34" s="0" t="n">
        <f aca="false">(B34-2291.28)/1000</f>
        <v>0.48121</v>
      </c>
      <c r="E34" s="0" t="s">
        <v>1</v>
      </c>
      <c r="F34" s="0" t="n">
        <f aca="false">$B$1+D34*D34/$B$1</f>
        <v>1.2315630641</v>
      </c>
      <c r="G34" s="0" t="s">
        <v>1</v>
      </c>
    </row>
    <row r="35" customFormat="false" ht="12.8" hidden="false" customHeight="false" outlineLevel="0" collapsed="false">
      <c r="A35" s="0" t="s">
        <v>22</v>
      </c>
      <c r="B35" s="0" t="n">
        <f aca="false">B34+86</f>
        <v>2858.49</v>
      </c>
      <c r="C35" s="0" t="s">
        <v>16</v>
      </c>
      <c r="D35" s="0" t="n">
        <f aca="false">(B35-2291.28)/1000</f>
        <v>0.56721</v>
      </c>
      <c r="E35" s="0" t="s">
        <v>1</v>
      </c>
      <c r="F35" s="0" t="n">
        <f aca="false">$B$1+D35*D35/$B$1</f>
        <v>1.3217271841</v>
      </c>
      <c r="G35" s="0" t="s">
        <v>1</v>
      </c>
    </row>
    <row r="38" customFormat="false" ht="12.8" hidden="false" customHeight="false" outlineLevel="0" collapsed="false">
      <c r="A38" s="0" t="s">
        <v>19</v>
      </c>
      <c r="H38" s="0" t="n">
        <f aca="false">AVERAGE(F39:F43)</f>
        <v>2.5916491912</v>
      </c>
    </row>
    <row r="39" customFormat="false" ht="12.8" hidden="false" customHeight="false" outlineLevel="0" collapsed="false">
      <c r="A39" s="0" t="s">
        <v>17</v>
      </c>
      <c r="B39" s="0" t="n">
        <v>3344.2</v>
      </c>
      <c r="C39" s="0" t="s">
        <v>16</v>
      </c>
      <c r="D39" s="0" t="n">
        <f aca="false">(B39-2291.28)/1000</f>
        <v>1.05292</v>
      </c>
      <c r="E39" s="0" t="s">
        <v>1</v>
      </c>
      <c r="F39" s="0" t="n">
        <f aca="false">$B$1+D39*D39/$B$1</f>
        <v>2.1086405264</v>
      </c>
      <c r="G39" s="0" t="s">
        <v>1</v>
      </c>
    </row>
    <row r="40" customFormat="false" ht="12.8" hidden="false" customHeight="false" outlineLevel="0" collapsed="false">
      <c r="A40" s="0" t="s">
        <v>18</v>
      </c>
      <c r="B40" s="0" t="n">
        <f aca="false">B39+100.34</f>
        <v>3444.54</v>
      </c>
      <c r="C40" s="0" t="s">
        <v>16</v>
      </c>
      <c r="D40" s="0" t="n">
        <f aca="false">(B40-2291.28)/1000</f>
        <v>1.15326</v>
      </c>
      <c r="E40" s="0" t="s">
        <v>1</v>
      </c>
      <c r="F40" s="0" t="n">
        <f aca="false">$B$1+D40*D40/$B$1</f>
        <v>2.3300086276</v>
      </c>
      <c r="G40" s="0" t="s">
        <v>1</v>
      </c>
    </row>
    <row r="41" customFormat="false" ht="12.8" hidden="false" customHeight="false" outlineLevel="0" collapsed="false">
      <c r="A41" s="0" t="s">
        <v>20</v>
      </c>
      <c r="B41" s="0" t="n">
        <f aca="false">B40+100.34</f>
        <v>3544.88</v>
      </c>
      <c r="C41" s="0" t="s">
        <v>16</v>
      </c>
      <c r="D41" s="0" t="n">
        <f aca="false">(B41-2291.28)/1000</f>
        <v>1.2536</v>
      </c>
      <c r="E41" s="0" t="s">
        <v>1</v>
      </c>
      <c r="F41" s="0" t="n">
        <f aca="false">$B$1+D41*D41/$B$1</f>
        <v>2.57151296</v>
      </c>
      <c r="G41" s="0" t="s">
        <v>1</v>
      </c>
    </row>
    <row r="42" customFormat="false" ht="12.8" hidden="false" customHeight="false" outlineLevel="0" collapsed="false">
      <c r="A42" s="0" t="s">
        <v>21</v>
      </c>
      <c r="B42" s="0" t="n">
        <f aca="false">B41+100.34</f>
        <v>3645.22</v>
      </c>
      <c r="C42" s="0" t="s">
        <v>16</v>
      </c>
      <c r="D42" s="0" t="n">
        <f aca="false">(B42-2291.28)/1000</f>
        <v>1.35394</v>
      </c>
      <c r="E42" s="0" t="s">
        <v>1</v>
      </c>
      <c r="F42" s="0" t="n">
        <f aca="false">$B$1+D42*D42/$B$1</f>
        <v>2.8331535236</v>
      </c>
      <c r="G42" s="0" t="s">
        <v>1</v>
      </c>
    </row>
    <row r="43" customFormat="false" ht="12.8" hidden="false" customHeight="false" outlineLevel="0" collapsed="false">
      <c r="A43" s="0" t="s">
        <v>22</v>
      </c>
      <c r="B43" s="0" t="n">
        <f aca="false">B42+100.34</f>
        <v>3745.56</v>
      </c>
      <c r="C43" s="0" t="s">
        <v>16</v>
      </c>
      <c r="D43" s="0" t="n">
        <f aca="false">(B43-2291.28)/1000</f>
        <v>1.45428</v>
      </c>
      <c r="E43" s="0" t="s">
        <v>1</v>
      </c>
      <c r="F43" s="0" t="n">
        <f aca="false">$B$1+D43*D43/$B$1</f>
        <v>3.1149303184</v>
      </c>
      <c r="G43" s="0" t="s">
        <v>1</v>
      </c>
    </row>
    <row r="45" customFormat="false" ht="12.8" hidden="false" customHeight="false" outlineLevel="0" collapsed="false">
      <c r="A45" s="0" t="s">
        <v>15</v>
      </c>
      <c r="B45" s="0" t="n">
        <v>4660.88</v>
      </c>
      <c r="C45" s="0" t="s">
        <v>16</v>
      </c>
      <c r="D45" s="0" t="n">
        <f aca="false">(B45-2291.28)/1000</f>
        <v>2.3696</v>
      </c>
      <c r="E45" s="0" t="s">
        <v>1</v>
      </c>
      <c r="F45" s="0" t="n">
        <f aca="false">$B$1+D45*D45/$B$1</f>
        <v>6.61500416</v>
      </c>
      <c r="G45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2017-04-21T21:25:51Z</dcterms:created>
  <dc:creator>Markus Ries</dc:creator>
  <dc:description/>
  <dc:language>de-DE</dc:language>
  <cp:lastModifiedBy/>
  <dcterms:modified xsi:type="dcterms:W3CDTF">2017-08-15T20:14:02Z</dcterms:modified>
  <cp:revision>3</cp:revision>
  <dc:subject/>
  <dc:title/>
</cp:coreProperties>
</file>